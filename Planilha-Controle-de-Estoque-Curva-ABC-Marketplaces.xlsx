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&amp; Instruções" sheetId="1" state="visible" r:id="rId1"/>
    <sheet name="Controle de Estoque" sheetId="2" state="visible" r:id="rId2"/>
    <sheet name="Curva ABC" sheetId="3" state="visible" r:id="rId3"/>
    <sheet name="Giro &amp; Cober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DD/MM/YYYY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64748B"/>
      <sz val="9"/>
    </font>
    <font>
      <name val="Segoe UI"/>
      <b val="1"/>
      <color rgb="001E293B"/>
      <sz val="18"/>
    </font>
    <font>
      <name val="Segoe UI"/>
      <b val="1"/>
      <color rgb="001E293B"/>
      <sz val="12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  <font>
      <name val="Segoe UI"/>
      <b val="1"/>
      <color rgb="00475569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10" fontId="7" fillId="7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10" fontId="7" fillId="8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10" fontId="6" fillId="0" borderId="0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24" customWidth="1" min="4" max="4"/>
    <col width="24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2">
      <c r="B2" s="1" t="inlineStr">
        <is>
          <t>SISTEMA INTEGRADO DE ESTOQUE &amp; CURVA ABC PARA MARKETPLACES</t>
        </is>
      </c>
    </row>
    <row r="3"/>
    <row r="4">
      <c r="B4" s="2" t="inlineStr">
        <is>
          <t>Ferramenta Oficial Complementar ao Precificador Pro • Mercado Livre, Shopee, Amazon, Shein e Magalu</t>
        </is>
      </c>
    </row>
    <row r="6">
      <c r="B6" s="3" t="inlineStr">
        <is>
          <t>TOTAL EM ESTOQUE (UNID)</t>
        </is>
      </c>
      <c r="D6" s="3" t="inlineStr">
        <is>
          <t>VALOR TOTAL INVESTIDO</t>
        </is>
      </c>
      <c r="F6" s="3" t="inlineStr">
        <is>
          <t>ITENS PARA REPOR</t>
        </is>
      </c>
      <c r="H6" s="3" t="inlineStr">
        <is>
          <t>ITENS ZERADOS (RUPTURA)</t>
        </is>
      </c>
    </row>
    <row r="7">
      <c r="B7" s="4">
        <f>SOMA('Controle de Estoque'!F7:F26)</f>
        <v/>
      </c>
      <c r="D7" s="5">
        <f>SOMA('Controle de Estoque'!I7:I26)</f>
        <v/>
      </c>
      <c r="F7" s="4">
        <f>CONT.SE('Controle de Estoque'!J7:J26, "*REPOR*")</f>
        <v/>
      </c>
      <c r="H7" s="4">
        <f>CONT.SE('Controle de Estoque'!J7:J26, "*ZERADO*")</f>
        <v/>
      </c>
    </row>
    <row r="9">
      <c r="B9" s="6" t="inlineStr">
        <is>
          <t>COMO UTILIZAR ESTA PLANILHA</t>
        </is>
      </c>
    </row>
    <row r="11">
      <c r="B11" s="7" t="inlineStr">
        <is>
          <t>1. Aba "Controle de Estoque":</t>
        </is>
      </c>
      <c r="C11" s="8" t="inlineStr">
        <is>
          <t>Cadastre seus produtos com Estoque Atual, Estoque Mínimo e Custo Unitário. A coluna Status avisa em verde, amarelo ou vermelho automaticamente quando você precisa repor.</t>
        </is>
      </c>
    </row>
    <row r="13">
      <c r="B13" s="7" t="inlineStr">
        <is>
          <t>2. Aba "Curva ABC de Vendas":</t>
        </is>
      </c>
      <c r="C13" s="8" t="inlineStr">
        <is>
          <t>Insira o volume de vendas e preço médio de cada produto. A planilha calcula sozinha a fatia de faturamento de cada item e classifica em A (80% do seu lucro), B (15%) e C (5%).</t>
        </is>
      </c>
    </row>
    <row r="15">
      <c r="B15" s="7" t="inlineStr">
        <is>
          <t>3. Aba "Giro &amp; Cobertura":</t>
        </is>
      </c>
      <c r="C15" s="8" t="inlineStr">
        <is>
          <t>Descubra exatamente quantos dias de estoque você ainda tem antes de zerar, permitindo negociar com fornecedores com antecedência sem pagar frete aéreo ou perder vendas.</t>
        </is>
      </c>
    </row>
    <row r="17">
      <c r="B17" s="7" t="inlineStr">
        <is>
          <t>4. Sincronização com Precificador Pro:</t>
        </is>
      </c>
      <c r="C17" s="8" t="inlineStr">
        <is>
          <t>Use os mesmos custos unitários e preços de venda calculados no seu aplicativo Precificador Pro para garantir margens sempre consistentes e blindadas contra prejuízo.</t>
        </is>
      </c>
    </row>
    <row r="20">
      <c r="B20" s="6" t="inlineStr">
        <is>
          <t>GUIA ESTRATÉGICO DA CURVA ABC DE PARETO</t>
        </is>
      </c>
    </row>
    <row r="22">
      <c r="B22" s="9" t="inlineStr">
        <is>
          <t>Classificação</t>
        </is>
      </c>
      <c r="D22" s="9" t="inlineStr">
        <is>
          <t>Impacto no Faturamento</t>
        </is>
      </c>
      <c r="F22" s="9" t="inlineStr">
        <is>
          <t>Estratégia Recomendada para o Seller</t>
        </is>
      </c>
    </row>
    <row r="23">
      <c r="B23" s="10" t="inlineStr">
        <is>
          <t>CLASSE A (Top 20% dos Produtos)</t>
        </is>
      </c>
      <c r="D23" s="11" t="inlineStr">
        <is>
          <t>Representam cerca de 80% do seu faturamento.</t>
        </is>
      </c>
      <c r="F23" s="12" t="inlineStr">
        <is>
          <t>NUNCA deixe faltar em estoque. Negocie prazo e preço agressivo com fornecedor. Ative Full / FBA.</t>
        </is>
      </c>
    </row>
    <row r="24">
      <c r="B24" s="10" t="inlineStr">
        <is>
          <t>CLASSE B (30% dos Produtos)</t>
        </is>
      </c>
      <c r="D24" s="11" t="inlineStr">
        <is>
          <t>Representam cerca de 15% do seu faturamento.</t>
        </is>
      </c>
      <c r="F24" s="12" t="inlineStr">
        <is>
          <t>Estoque de giro regular. Mantenha ponto de reposição padrão de 15 a 30 dias.</t>
        </is>
      </c>
    </row>
    <row r="25">
      <c r="B25" s="10" t="inlineStr">
        <is>
          <t>CLASSE C (50% dos Produtos)</t>
        </is>
      </c>
      <c r="D25" s="11" t="inlineStr">
        <is>
          <t>Representam apenas 5% do faturamento total.</t>
        </is>
      </c>
      <c r="F25" s="12" t="inlineStr">
        <is>
          <t>Cuidado com capital parado! Faça promoções, queima de estoque ou monte Kits/Combos no Precificador Pro para desovar.</t>
        </is>
      </c>
    </row>
  </sheetData>
  <mergeCells count="26">
    <mergeCell ref="B7:C7"/>
    <mergeCell ref="B25:C25"/>
    <mergeCell ref="C17:I17"/>
    <mergeCell ref="B22:C22"/>
    <mergeCell ref="F6:G6"/>
    <mergeCell ref="D22:E22"/>
    <mergeCell ref="F7:G7"/>
    <mergeCell ref="D6:E6"/>
    <mergeCell ref="C13:I13"/>
    <mergeCell ref="H6:I6"/>
    <mergeCell ref="B23:C23"/>
    <mergeCell ref="C15:I15"/>
    <mergeCell ref="F25:I25"/>
    <mergeCell ref="D7:E7"/>
    <mergeCell ref="H7:I7"/>
    <mergeCell ref="F24:I24"/>
    <mergeCell ref="D25:E25"/>
    <mergeCell ref="B6:C6"/>
    <mergeCell ref="B24:C24"/>
    <mergeCell ref="D24:E24"/>
    <mergeCell ref="B2:I3"/>
    <mergeCell ref="D23:E23"/>
    <mergeCell ref="F23:I23"/>
    <mergeCell ref="C11:I11"/>
    <mergeCell ref="B4:I4"/>
    <mergeCell ref="F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4" customWidth="1" min="9" max="9"/>
    <col width="24" customWidth="1" min="10" max="10"/>
  </cols>
  <sheetData>
    <row r="2">
      <c r="A2" s="1" t="inlineStr">
        <is>
          <t>CONTROLE E GESTÃO DE ESTOQUE POR SKU &amp; MARKETPLACE</t>
        </is>
      </c>
    </row>
    <row r="3"/>
    <row r="5" ht="28" customHeight="1">
      <c r="A5" s="13" t="inlineStr">
        <is>
          <t>Código SKU</t>
        </is>
      </c>
      <c r="B5" s="13" t="inlineStr">
        <is>
          <t>Descrição do Produto</t>
        </is>
      </c>
      <c r="C5" s="13" t="inlineStr">
        <is>
          <t>Categoria</t>
        </is>
      </c>
      <c r="D5" s="13" t="inlineStr">
        <is>
          <t>Canal Principal</t>
        </is>
      </c>
      <c r="E5" s="13" t="inlineStr">
        <is>
          <t>Estoque Mínimo</t>
        </is>
      </c>
      <c r="F5" s="13" t="inlineStr">
        <is>
          <t>Estoque Atual</t>
        </is>
      </c>
      <c r="G5" s="13" t="inlineStr">
        <is>
          <t>Ponto Reposição</t>
        </is>
      </c>
      <c r="H5" s="13" t="inlineStr">
        <is>
          <t>Custo Unit. (R$)</t>
        </is>
      </c>
      <c r="I5" s="13" t="inlineStr">
        <is>
          <t>Valor Total Estoque (R$)</t>
        </is>
      </c>
      <c r="J5" s="13" t="inlineStr">
        <is>
          <t>Status de Reposição</t>
        </is>
      </c>
    </row>
    <row r="7" ht="20" customHeight="1">
      <c r="A7" s="14" t="inlineStr">
        <is>
          <t>FONE-BT-01</t>
        </is>
      </c>
      <c r="B7" s="15" t="inlineStr">
        <is>
          <t>Fone de Ouvido Bluetooth TWS Pro</t>
        </is>
      </c>
      <c r="C7" s="15" t="inlineStr">
        <is>
          <t>Eletrônicos</t>
        </is>
      </c>
      <c r="D7" s="14" t="inlineStr">
        <is>
          <t>Mercado Livre</t>
        </is>
      </c>
      <c r="E7" s="16" t="n">
        <v>20</v>
      </c>
      <c r="F7" s="16" t="n">
        <v>85</v>
      </c>
      <c r="G7" s="16" t="n">
        <v>35</v>
      </c>
      <c r="H7" s="17" t="n">
        <v>32</v>
      </c>
      <c r="I7" s="17">
        <f>F7*H7</f>
        <v/>
      </c>
      <c r="J7" s="18">
        <f>IF(F7&lt;=0, "🔴 ZERADO", IF(F7&lt;=G7, "🟡 REPOR URGENTE", "🟢 NORMAL"))</f>
        <v/>
      </c>
    </row>
    <row r="8" ht="20" customHeight="1">
      <c r="A8" s="19" t="inlineStr">
        <is>
          <t>GARRAFA-500</t>
        </is>
      </c>
      <c r="B8" s="20" t="inlineStr">
        <is>
          <t>Garrafa Térmica Inox 500ml Digital</t>
        </is>
      </c>
      <c r="C8" s="20" t="inlineStr">
        <is>
          <t>Casa &amp; Cozinha</t>
        </is>
      </c>
      <c r="D8" s="19" t="inlineStr">
        <is>
          <t>Shopee</t>
        </is>
      </c>
      <c r="E8" s="21" t="n">
        <v>15</v>
      </c>
      <c r="F8" s="21" t="n">
        <v>62</v>
      </c>
      <c r="G8" s="21" t="n">
        <v>25</v>
      </c>
      <c r="H8" s="22" t="n">
        <v>18.5</v>
      </c>
      <c r="I8" s="22">
        <f>F8*H8</f>
        <v/>
      </c>
      <c r="J8" s="18">
        <f>IF(F8&lt;=0, "🔴 ZERADO", IF(F8&lt;=G8, "🟡 REPOR URGENTE", "🟢 NORMAL"))</f>
        <v/>
      </c>
    </row>
    <row r="9" ht="20" customHeight="1">
      <c r="A9" s="14" t="inlineStr">
        <is>
          <t>CABO-USBC-2M</t>
        </is>
      </c>
      <c r="B9" s="15" t="inlineStr">
        <is>
          <t>Cabo USB-C Trançado Nylon 2m Turbo</t>
        </is>
      </c>
      <c r="C9" s="15" t="inlineStr">
        <is>
          <t>Acessórios</t>
        </is>
      </c>
      <c r="D9" s="14" t="inlineStr">
        <is>
          <t>Shopee</t>
        </is>
      </c>
      <c r="E9" s="16" t="n">
        <v>30</v>
      </c>
      <c r="F9" s="16" t="n">
        <v>140</v>
      </c>
      <c r="G9" s="16" t="n">
        <v>50</v>
      </c>
      <c r="H9" s="17" t="n">
        <v>6.2</v>
      </c>
      <c r="I9" s="17">
        <f>F9*H9</f>
        <v/>
      </c>
      <c r="J9" s="18">
        <f>IF(F9&lt;=0, "🔴 ZERADO", IF(F9&lt;=G9, "🟡 REPOR URGENTE", "🟢 NORMAL"))</f>
        <v/>
      </c>
    </row>
    <row r="10" ht="20" customHeight="1">
      <c r="A10" s="19" t="inlineStr">
        <is>
          <t>SUPORTE-NOTE</t>
        </is>
      </c>
      <c r="B10" s="20" t="inlineStr">
        <is>
          <t>Suporte Articulado para Notebook Ergonômico</t>
        </is>
      </c>
      <c r="C10" s="20" t="inlineStr">
        <is>
          <t>Informática</t>
        </is>
      </c>
      <c r="D10" s="19" t="inlineStr">
        <is>
          <t>Amazon</t>
        </is>
      </c>
      <c r="E10" s="21" t="n">
        <v>10</v>
      </c>
      <c r="F10" s="21" t="n">
        <v>8</v>
      </c>
      <c r="G10" s="21" t="n">
        <v>15</v>
      </c>
      <c r="H10" s="22" t="n">
        <v>28</v>
      </c>
      <c r="I10" s="22">
        <f>F10*H10</f>
        <v/>
      </c>
      <c r="J10" s="23">
        <f>IF(F10&lt;=0, "🔴 ZERADO", IF(F10&lt;=G10, "🟡 REPOR URGENTE", "🟢 NORMAL"))</f>
        <v/>
      </c>
    </row>
    <row r="11" ht="20" customHeight="1">
      <c r="A11" s="14" t="inlineStr">
        <is>
          <t>RING-LIGHT-10</t>
        </is>
      </c>
      <c r="B11" s="15" t="inlineStr">
        <is>
          <t>Ring Light 10 Pol Tripé 2m + Controle</t>
        </is>
      </c>
      <c r="C11" s="15" t="inlineStr">
        <is>
          <t>Fotografia</t>
        </is>
      </c>
      <c r="D11" s="14" t="inlineStr">
        <is>
          <t>Mercado Livre</t>
        </is>
      </c>
      <c r="E11" s="16" t="n">
        <v>15</v>
      </c>
      <c r="F11" s="16" t="n">
        <v>0</v>
      </c>
      <c r="G11" s="16" t="n">
        <v>20</v>
      </c>
      <c r="H11" s="17" t="n">
        <v>34</v>
      </c>
      <c r="I11" s="17">
        <f>F11*H11</f>
        <v/>
      </c>
      <c r="J11" s="24">
        <f>IF(F11&lt;=0, "🔴 ZERADO", IF(F11&lt;=G11, "🟡 REPOR URGENTE", "🟢 NORMAL"))</f>
        <v/>
      </c>
    </row>
    <row r="12" ht="20" customHeight="1">
      <c r="A12" s="19" t="inlineStr">
        <is>
          <t>KIT-MEIAS-12</t>
        </is>
      </c>
      <c r="B12" s="20" t="inlineStr">
        <is>
          <t>Kit 12 Pares de Meia Algodão Cano Curto</t>
        </is>
      </c>
      <c r="C12" s="20" t="inlineStr">
        <is>
          <t>Moda</t>
        </is>
      </c>
      <c r="D12" s="19" t="inlineStr">
        <is>
          <t>Shopee</t>
        </is>
      </c>
      <c r="E12" s="21" t="n">
        <v>40</v>
      </c>
      <c r="F12" s="21" t="n">
        <v>95</v>
      </c>
      <c r="G12" s="21" t="n">
        <v>60</v>
      </c>
      <c r="H12" s="22" t="n">
        <v>14</v>
      </c>
      <c r="I12" s="22">
        <f>F12*H12</f>
        <v/>
      </c>
      <c r="J12" s="18">
        <f>IF(F12&lt;=0, "🔴 ZERADO", IF(F12&lt;=G12, "🟡 REPOR URGENTE", "🟢 NORMAL"))</f>
        <v/>
      </c>
    </row>
    <row r="13" ht="20" customHeight="1">
      <c r="A13" s="14" t="inlineStr">
        <is>
          <t>CARREGADOR-20W</t>
        </is>
      </c>
      <c r="B13" s="15" t="inlineStr">
        <is>
          <t>Carregador Rápido 20W USB-C Homologado</t>
        </is>
      </c>
      <c r="C13" s="15" t="inlineStr">
        <is>
          <t>Eletrônicos</t>
        </is>
      </c>
      <c r="D13" s="14" t="inlineStr">
        <is>
          <t>Mercado Livre</t>
        </is>
      </c>
      <c r="E13" s="16" t="n">
        <v>25</v>
      </c>
      <c r="F13" s="16" t="n">
        <v>18</v>
      </c>
      <c r="G13" s="16" t="n">
        <v>35</v>
      </c>
      <c r="H13" s="17" t="n">
        <v>19.5</v>
      </c>
      <c r="I13" s="17">
        <f>F13*H13</f>
        <v/>
      </c>
      <c r="J13" s="23">
        <f>IF(F13&lt;=0, "🔴 ZERADO", IF(F13&lt;=G13, "🟡 REPOR URGENTE", "🟢 NORMAL"))</f>
        <v/>
      </c>
    </row>
    <row r="14" ht="20" customHeight="1">
      <c r="A14" s="19" t="inlineStr">
        <is>
          <t>LUMINARIA-MESA</t>
        </is>
      </c>
      <c r="B14" s="20" t="inlineStr">
        <is>
          <t>Luminária de Mesa LED Articulada Touch</t>
        </is>
      </c>
      <c r="C14" s="20" t="inlineStr">
        <is>
          <t>Casa &amp; Cozinha</t>
        </is>
      </c>
      <c r="D14" s="19" t="inlineStr">
        <is>
          <t>Shein</t>
        </is>
      </c>
      <c r="E14" s="21" t="n">
        <v>15</v>
      </c>
      <c r="F14" s="21" t="n">
        <v>32</v>
      </c>
      <c r="G14" s="21" t="n">
        <v>25</v>
      </c>
      <c r="H14" s="22" t="n">
        <v>22</v>
      </c>
      <c r="I14" s="22">
        <f>F14*H14</f>
        <v/>
      </c>
      <c r="J14" s="18">
        <f>IF(F14&lt;=0, "🔴 ZERADO", IF(F14&lt;=G14, "🟡 REPOR URGENTE", "🟢 NORMAL"))</f>
        <v/>
      </c>
    </row>
    <row r="15" ht="20" customHeight="1">
      <c r="A15" s="14" t="inlineStr">
        <is>
          <t>CAPA-IPHONE-15</t>
        </is>
      </c>
      <c r="B15" s="15" t="inlineStr">
        <is>
          <t>Capa Magnética Silicone Anti-Impacto</t>
        </is>
      </c>
      <c r="C15" s="15" t="inlineStr">
        <is>
          <t>Acessórios</t>
        </is>
      </c>
      <c r="D15" s="14" t="inlineStr">
        <is>
          <t>Shopee</t>
        </is>
      </c>
      <c r="E15" s="16" t="n">
        <v>50</v>
      </c>
      <c r="F15" s="16" t="n">
        <v>110</v>
      </c>
      <c r="G15" s="16" t="n">
        <v>75</v>
      </c>
      <c r="H15" s="17" t="n">
        <v>5.8</v>
      </c>
      <c r="I15" s="17">
        <f>F15*H15</f>
        <v/>
      </c>
      <c r="J15" s="18">
        <f>IF(F15&lt;=0, "🔴 ZERADO", IF(F15&lt;=G15, "🟡 REPOR URGENTE", "🟢 NORMAL"))</f>
        <v/>
      </c>
    </row>
    <row r="16" ht="20" customHeight="1">
      <c r="A16" s="19" t="inlineStr">
        <is>
          <t>MOCKUP-ORGANIZ</t>
        </is>
      </c>
      <c r="B16" s="20" t="inlineStr">
        <is>
          <t>Organizador de Cabos e Fones Portátil</t>
        </is>
      </c>
      <c r="C16" s="20" t="inlineStr">
        <is>
          <t>Utilidades</t>
        </is>
      </c>
      <c r="D16" s="19" t="inlineStr">
        <is>
          <t>TikTok Shop</t>
        </is>
      </c>
      <c r="E16" s="21" t="n">
        <v>20</v>
      </c>
      <c r="F16" s="21" t="n">
        <v>45</v>
      </c>
      <c r="G16" s="21" t="n">
        <v>30</v>
      </c>
      <c r="H16" s="22" t="n">
        <v>4.5</v>
      </c>
      <c r="I16" s="22">
        <f>F16*H16</f>
        <v/>
      </c>
      <c r="J16" s="18">
        <f>IF(F16&lt;=0, "🔴 ZERADO", IF(F16&lt;=G16, "🟡 REPOR URGENTE", "🟢 NORMAL"))</f>
        <v/>
      </c>
    </row>
    <row r="17" ht="20" customHeight="1">
      <c r="A17" s="14" t="inlineStr">
        <is>
          <t>TECLADO-MEC-RGB</t>
        </is>
      </c>
      <c r="B17" s="15" t="inlineStr">
        <is>
          <t>Teclado Mecânico Compacto RGB ABNT2</t>
        </is>
      </c>
      <c r="C17" s="15" t="inlineStr">
        <is>
          <t>Informática</t>
        </is>
      </c>
      <c r="D17" s="14" t="inlineStr">
        <is>
          <t>Amazon</t>
        </is>
      </c>
      <c r="E17" s="16" t="n">
        <v>10</v>
      </c>
      <c r="F17" s="16" t="n">
        <v>5</v>
      </c>
      <c r="G17" s="16" t="n">
        <v>15</v>
      </c>
      <c r="H17" s="17" t="n">
        <v>75</v>
      </c>
      <c r="I17" s="17">
        <f>F17*H17</f>
        <v/>
      </c>
      <c r="J17" s="23">
        <f>IF(F17&lt;=0, "🔴 ZERADO", IF(F17&lt;=G17, "🟡 REPOR URGENTE", "🟢 NORMAL"))</f>
        <v/>
      </c>
    </row>
    <row r="18" ht="20" customHeight="1">
      <c r="A18" s="19" t="inlineStr">
        <is>
          <t>MOUSE-SEM-FIO</t>
        </is>
      </c>
      <c r="B18" s="20" t="inlineStr">
        <is>
          <t>Mouse Óptico Recarregável Silencioso 2.4G</t>
        </is>
      </c>
      <c r="C18" s="20" t="inlineStr">
        <is>
          <t>Informática</t>
        </is>
      </c>
      <c r="D18" s="19" t="inlineStr">
        <is>
          <t>Mercado Livre</t>
        </is>
      </c>
      <c r="E18" s="21" t="n">
        <v>20</v>
      </c>
      <c r="F18" s="21" t="n">
        <v>55</v>
      </c>
      <c r="G18" s="21" t="n">
        <v>30</v>
      </c>
      <c r="H18" s="22" t="n">
        <v>16</v>
      </c>
      <c r="I18" s="22">
        <f>F18*H18</f>
        <v/>
      </c>
      <c r="J18" s="18">
        <f>IF(F18&lt;=0, "🔴 ZERADO", IF(F18&lt;=G18, "🟡 REPOR URGENTE", "🟢 NORMAL"))</f>
        <v/>
      </c>
    </row>
    <row r="19" ht="20" customHeight="1">
      <c r="A19" s="14" t="inlineStr">
        <is>
          <t>MOCHILA-ANTIFURTO</t>
        </is>
      </c>
      <c r="B19" s="15" t="inlineStr">
        <is>
          <t>Mochila Impermeável para Notebook com USB</t>
        </is>
      </c>
      <c r="C19" s="15" t="inlineStr">
        <is>
          <t>Bolsas &amp; Malas</t>
        </is>
      </c>
      <c r="D19" s="14" t="inlineStr">
        <is>
          <t>Mercado Livre</t>
        </is>
      </c>
      <c r="E19" s="16" t="n">
        <v>15</v>
      </c>
      <c r="F19" s="16" t="n">
        <v>26</v>
      </c>
      <c r="G19" s="16" t="n">
        <v>20</v>
      </c>
      <c r="H19" s="17" t="n">
        <v>48</v>
      </c>
      <c r="I19" s="17">
        <f>F19*H19</f>
        <v/>
      </c>
      <c r="J19" s="18">
        <f>IF(F19&lt;=0, "🔴 ZERADO", IF(F19&lt;=G19, "🟡 REPOR URGENTE", "🟢 NORMAL"))</f>
        <v/>
      </c>
    </row>
    <row r="20" ht="20" customHeight="1">
      <c r="A20" s="19" t="inlineStr">
        <is>
          <t>RELOGIO-SMART-D20</t>
        </is>
      </c>
      <c r="B20" s="20" t="inlineStr">
        <is>
          <t>Smartwatch D20 Bluetooth Monitor Saúde</t>
        </is>
      </c>
      <c r="C20" s="20" t="inlineStr">
        <is>
          <t>Eletrônicos</t>
        </is>
      </c>
      <c r="D20" s="19" t="inlineStr">
        <is>
          <t>Shopee</t>
        </is>
      </c>
      <c r="E20" s="21" t="n">
        <v>25</v>
      </c>
      <c r="F20" s="21" t="n">
        <v>78</v>
      </c>
      <c r="G20" s="21" t="n">
        <v>40</v>
      </c>
      <c r="H20" s="22" t="n">
        <v>17</v>
      </c>
      <c r="I20" s="22">
        <f>F20*H20</f>
        <v/>
      </c>
      <c r="J20" s="18">
        <f>IF(F20&lt;=0, "🔴 ZERADO", IF(F20&lt;=G20, "🟡 REPOR URGENTE", "🟢 NORMAL"))</f>
        <v/>
      </c>
    </row>
    <row r="21" ht="20" customHeight="1">
      <c r="A21" s="14" t="inlineStr">
        <is>
          <t>PELICULA-3D-KIT</t>
        </is>
      </c>
      <c r="B21" s="15" t="inlineStr">
        <is>
          <t>Kit 5 Películas de Vidro 3D Temperado</t>
        </is>
      </c>
      <c r="C21" s="15" t="inlineStr">
        <is>
          <t>Acessórios</t>
        </is>
      </c>
      <c r="D21" s="14" t="inlineStr">
        <is>
          <t>Shopee</t>
        </is>
      </c>
      <c r="E21" s="16" t="n">
        <v>50</v>
      </c>
      <c r="F21" s="16" t="n">
        <v>190</v>
      </c>
      <c r="G21" s="16" t="n">
        <v>80</v>
      </c>
      <c r="H21" s="17" t="n">
        <v>7.5</v>
      </c>
      <c r="I21" s="17">
        <f>F21*H21</f>
        <v/>
      </c>
      <c r="J21" s="18">
        <f>IF(F21&lt;=0, "🔴 ZERADO", IF(F21&lt;=G21, "🟡 REPOR URGENTE", "🟢 NORMAL"))</f>
        <v/>
      </c>
    </row>
    <row r="22" ht="20" customHeight="1">
      <c r="A22" s="19" t="inlineStr">
        <is>
          <t>BALANCA-DIGITAL</t>
        </is>
      </c>
      <c r="B22" s="20" t="inlineStr">
        <is>
          <t>Balança Digital de Cozinha Alta Precisão</t>
        </is>
      </c>
      <c r="C22" s="20" t="inlineStr">
        <is>
          <t>Casa &amp; Cozinha</t>
        </is>
      </c>
      <c r="D22" s="19" t="inlineStr">
        <is>
          <t>Shopee</t>
        </is>
      </c>
      <c r="E22" s="21" t="n">
        <v>20</v>
      </c>
      <c r="F22" s="21" t="n">
        <v>0</v>
      </c>
      <c r="G22" s="21" t="n">
        <v>30</v>
      </c>
      <c r="H22" s="22" t="n">
        <v>12</v>
      </c>
      <c r="I22" s="22">
        <f>F22*H22</f>
        <v/>
      </c>
      <c r="J22" s="24">
        <f>IF(F22&lt;=0, "🔴 ZERADO", IF(F22&lt;=G22, "🟡 REPOR URGENTE", "🟢 NORMAL"))</f>
        <v/>
      </c>
    </row>
    <row r="23" ht="20" customHeight="1">
      <c r="A23" s="14" t="inlineStr">
        <is>
          <t>CAIXA-SOM-BT</t>
        </is>
      </c>
      <c r="B23" s="15" t="inlineStr">
        <is>
          <t>Mini Caixa de Som Bluetooth À Prova D'Água</t>
        </is>
      </c>
      <c r="C23" s="15" t="inlineStr">
        <is>
          <t>Eletrônicos</t>
        </is>
      </c>
      <c r="D23" s="14" t="inlineStr">
        <is>
          <t>Mercado Livre</t>
        </is>
      </c>
      <c r="E23" s="16" t="n">
        <v>15</v>
      </c>
      <c r="F23" s="16" t="n">
        <v>22</v>
      </c>
      <c r="G23" s="16" t="n">
        <v>25</v>
      </c>
      <c r="H23" s="17" t="n">
        <v>29</v>
      </c>
      <c r="I23" s="17">
        <f>F23*H23</f>
        <v/>
      </c>
      <c r="J23" s="23">
        <f>IF(F23&lt;=0, "🔴 ZERADO", IF(F23&lt;=G23, "🟡 REPOR URGENTE", "🟢 NORMAL"))</f>
        <v/>
      </c>
    </row>
    <row r="24" ht="20" customHeight="1">
      <c r="A24" s="19" t="inlineStr">
        <is>
          <t>TRIPÉ-PULSO</t>
        </is>
      </c>
      <c r="B24" s="20" t="inlineStr">
        <is>
          <t>Pau de Selfie Tripé Bluetooth com Controle</t>
        </is>
      </c>
      <c r="C24" s="20" t="inlineStr">
        <is>
          <t>Acessórios</t>
        </is>
      </c>
      <c r="D24" s="19" t="inlineStr">
        <is>
          <t>Shein</t>
        </is>
      </c>
      <c r="E24" s="21" t="n">
        <v>20</v>
      </c>
      <c r="F24" s="21" t="n">
        <v>68</v>
      </c>
      <c r="G24" s="21" t="n">
        <v>35</v>
      </c>
      <c r="H24" s="22" t="n">
        <v>13.5</v>
      </c>
      <c r="I24" s="22">
        <f>F24*H24</f>
        <v/>
      </c>
      <c r="J24" s="18">
        <f>IF(F24&lt;=0, "🔴 ZERADO", IF(F24&lt;=G24, "🟡 REPOR URGENTE", "🟢 NORMAL"))</f>
        <v/>
      </c>
    </row>
    <row r="25" ht="20" customHeight="1">
      <c r="A25" s="14" t="inlineStr">
        <is>
          <t>ESCOVA-SECADORA</t>
        </is>
      </c>
      <c r="B25" s="15" t="inlineStr">
        <is>
          <t>Escova Secadora Modeladora Oval 1200W</t>
        </is>
      </c>
      <c r="C25" s="15" t="inlineStr">
        <is>
          <t>Beleza</t>
        </is>
      </c>
      <c r="D25" s="14" t="inlineStr">
        <is>
          <t>Magalu</t>
        </is>
      </c>
      <c r="E25" s="16" t="n">
        <v>15</v>
      </c>
      <c r="F25" s="16" t="n">
        <v>14</v>
      </c>
      <c r="G25" s="16" t="n">
        <v>25</v>
      </c>
      <c r="H25" s="17" t="n">
        <v>55</v>
      </c>
      <c r="I25" s="17">
        <f>F25*H25</f>
        <v/>
      </c>
      <c r="J25" s="23">
        <f>IF(F25&lt;=0, "🔴 ZERADO", IF(F25&lt;=G25, "🟡 REPOR URGENTE", "🟢 NORMAL"))</f>
        <v/>
      </c>
    </row>
    <row r="26" ht="20" customHeight="1">
      <c r="A26" s="19" t="inlineStr">
        <is>
          <t>ALMOFADA-MASSAGEM</t>
        </is>
      </c>
      <c r="B26" s="20" t="inlineStr">
        <is>
          <t>Almofada de Massagem Shiatsu Pescoço e Lombar</t>
        </is>
      </c>
      <c r="C26" s="20" t="inlineStr">
        <is>
          <t>Saúde &amp; Bem-Estar</t>
        </is>
      </c>
      <c r="D26" s="19" t="inlineStr">
        <is>
          <t>Mercado Livre</t>
        </is>
      </c>
      <c r="E26" s="21" t="n">
        <v>10</v>
      </c>
      <c r="F26" s="21" t="n">
        <v>19</v>
      </c>
      <c r="G26" s="21" t="n">
        <v>15</v>
      </c>
      <c r="H26" s="22" t="n">
        <v>42</v>
      </c>
      <c r="I26" s="22">
        <f>F26*H26</f>
        <v/>
      </c>
      <c r="J26" s="18">
        <f>IF(F26&lt;=0, "🔴 ZERADO", IF(F26&lt;=G26, "🟡 REPOR URGENTE", "🟢 NORMAL"))</f>
        <v/>
      </c>
    </row>
    <row r="27">
      <c r="B27" s="7" t="inlineStr">
        <is>
          <t>TOTAL GERAL</t>
        </is>
      </c>
      <c r="F27" s="25">
        <f>SUM(F7:F26)</f>
        <v/>
      </c>
      <c r="I27" s="26">
        <f>SUM(I7:I26)</f>
        <v/>
      </c>
    </row>
  </sheetData>
  <mergeCells count="1">
    <mergeCell ref="A2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8" customWidth="1" min="4" max="4"/>
    <col width="22" customWidth="1" min="5" max="5"/>
    <col width="22" customWidth="1" min="6" max="6"/>
    <col width="24" customWidth="1" min="7" max="7"/>
    <col width="18" customWidth="1" min="8" max="8"/>
    <col width="18" customWidth="1" min="9" max="9"/>
    <col width="24" customWidth="1" min="10" max="10"/>
  </cols>
  <sheetData>
    <row r="2">
      <c r="A2" s="1" t="inlineStr">
        <is>
          <t>MATRIZ CURVA ABC DE VENDAS (REGRA DE PARETO 80/20)</t>
        </is>
      </c>
    </row>
    <row r="3"/>
    <row r="5" ht="28" customHeight="1">
      <c r="A5" s="13" t="inlineStr">
        <is>
          <t>Ranking</t>
        </is>
      </c>
      <c r="B5" s="13" t="inlineStr">
        <is>
          <t>Código SKU</t>
        </is>
      </c>
      <c r="C5" s="13" t="inlineStr">
        <is>
          <t>Descrição do Produto</t>
        </is>
      </c>
      <c r="D5" s="13" t="inlineStr">
        <is>
          <t>Canal Principal</t>
        </is>
      </c>
      <c r="E5" s="13" t="inlineStr">
        <is>
          <t>Vendas Mensais (Qtd)</t>
        </is>
      </c>
      <c r="F5" s="13" t="inlineStr">
        <is>
          <t>Preço Médio Venda (R$)</t>
        </is>
      </c>
      <c r="G5" s="13" t="inlineStr">
        <is>
          <t>Faturamento Total (R$)</t>
        </is>
      </c>
      <c r="H5" s="13" t="inlineStr">
        <is>
          <t>% Faturamento</t>
        </is>
      </c>
      <c r="I5" s="13" t="inlineStr">
        <is>
          <t>% Acumulado</t>
        </is>
      </c>
      <c r="J5" s="13" t="inlineStr">
        <is>
          <t>Classe ABC</t>
        </is>
      </c>
    </row>
    <row r="7" ht="20" customHeight="1">
      <c r="A7" s="14" t="n">
        <v>1</v>
      </c>
      <c r="B7" s="14" t="inlineStr">
        <is>
          <t>FONE-BT-01</t>
        </is>
      </c>
      <c r="C7" s="15" t="inlineStr">
        <is>
          <t>Fone de Ouvido Bluetooth TWS Pro</t>
        </is>
      </c>
      <c r="D7" s="14" t="inlineStr">
        <is>
          <t>Mercado Livre</t>
        </is>
      </c>
      <c r="E7" s="27" t="n">
        <v>260</v>
      </c>
      <c r="F7" s="17" t="n">
        <v>89.90000000000001</v>
      </c>
      <c r="G7" s="17">
        <f>E7*F7</f>
        <v/>
      </c>
      <c r="H7" s="28">
        <f>G7/$G$27</f>
        <v/>
      </c>
      <c r="I7" s="28">
        <f>H7</f>
        <v/>
      </c>
      <c r="J7" s="18">
        <f>IF(I7&lt;=0.80, "CLASSE A (Ouro)", IF(I7&lt;=0.95, "CLASSE B (Prata)", "CLASSE C (Bronze)"))</f>
        <v/>
      </c>
    </row>
    <row r="8" ht="20" customHeight="1">
      <c r="A8" s="19" t="n">
        <v>2</v>
      </c>
      <c r="B8" s="19" t="inlineStr">
        <is>
          <t>ESCOVA-SECADORA</t>
        </is>
      </c>
      <c r="C8" s="20" t="inlineStr">
        <is>
          <t>Escova Secadora Modeladora Oval 1200W</t>
        </is>
      </c>
      <c r="D8" s="19" t="inlineStr">
        <is>
          <t>Magalu</t>
        </is>
      </c>
      <c r="E8" s="29" t="n">
        <v>140</v>
      </c>
      <c r="F8" s="22" t="n">
        <v>139.9</v>
      </c>
      <c r="G8" s="22">
        <f>E8*F8</f>
        <v/>
      </c>
      <c r="H8" s="30">
        <f>G8/$G$27</f>
        <v/>
      </c>
      <c r="I8" s="30">
        <f>I7+H8</f>
        <v/>
      </c>
      <c r="J8" s="18">
        <f>IF(I8&lt;=0.80, "CLASSE A (Ouro)", IF(I8&lt;=0.95, "CLASSE B (Prata)", "CLASSE C (Bronze)"))</f>
        <v/>
      </c>
    </row>
    <row r="9" ht="20" customHeight="1">
      <c r="A9" s="14" t="n">
        <v>3</v>
      </c>
      <c r="B9" s="14" t="inlineStr">
        <is>
          <t>TECLADO-MEC-RGB</t>
        </is>
      </c>
      <c r="C9" s="15" t="inlineStr">
        <is>
          <t>Teclado Mecânico Compacto RGB ABNT2</t>
        </is>
      </c>
      <c r="D9" s="14" t="inlineStr">
        <is>
          <t>Amazon</t>
        </is>
      </c>
      <c r="E9" s="27" t="n">
        <v>90</v>
      </c>
      <c r="F9" s="17" t="n">
        <v>189.9</v>
      </c>
      <c r="G9" s="17">
        <f>E9*F9</f>
        <v/>
      </c>
      <c r="H9" s="28">
        <f>G9/$G$27</f>
        <v/>
      </c>
      <c r="I9" s="28">
        <f>I8+H9</f>
        <v/>
      </c>
      <c r="J9" s="18">
        <f>IF(I9&lt;=0.80, "CLASSE A (Ouro)", IF(I9&lt;=0.95, "CLASSE B (Prata)", "CLASSE C (Bronze)"))</f>
        <v/>
      </c>
    </row>
    <row r="10" ht="20" customHeight="1">
      <c r="A10" s="19" t="n">
        <v>4</v>
      </c>
      <c r="B10" s="19" t="inlineStr">
        <is>
          <t>GARRAFA-500</t>
        </is>
      </c>
      <c r="C10" s="20" t="inlineStr">
        <is>
          <t>Garrafa Térmica Inox 500ml Digital</t>
        </is>
      </c>
      <c r="D10" s="19" t="inlineStr">
        <is>
          <t>Shopee</t>
        </is>
      </c>
      <c r="E10" s="29" t="n">
        <v>280</v>
      </c>
      <c r="F10" s="22" t="n">
        <v>49.9</v>
      </c>
      <c r="G10" s="22">
        <f>E10*F10</f>
        <v/>
      </c>
      <c r="H10" s="30">
        <f>G10/$G$27</f>
        <v/>
      </c>
      <c r="I10" s="30">
        <f>I9+H10</f>
        <v/>
      </c>
      <c r="J10" s="18">
        <f>IF(I10&lt;=0.80, "CLASSE A (Ouro)", IF(I10&lt;=0.95, "CLASSE B (Prata)", "CLASSE C (Bronze)"))</f>
        <v/>
      </c>
    </row>
    <row r="11" ht="20" customHeight="1">
      <c r="A11" s="14" t="n">
        <v>5</v>
      </c>
      <c r="B11" s="14" t="inlineStr">
        <is>
          <t>MOCHILA-ANTIFURTO</t>
        </is>
      </c>
      <c r="C11" s="15" t="inlineStr">
        <is>
          <t>Mochila Impermeável para Notebook com USB</t>
        </is>
      </c>
      <c r="D11" s="14" t="inlineStr">
        <is>
          <t>Mercado Livre</t>
        </is>
      </c>
      <c r="E11" s="27" t="n">
        <v>110</v>
      </c>
      <c r="F11" s="17" t="n">
        <v>119.9</v>
      </c>
      <c r="G11" s="17">
        <f>E11*F11</f>
        <v/>
      </c>
      <c r="H11" s="28">
        <f>G11/$G$27</f>
        <v/>
      </c>
      <c r="I11" s="28">
        <f>I10+H11</f>
        <v/>
      </c>
      <c r="J11" s="18">
        <f>IF(I11&lt;=0.80, "CLASSE A (Ouro)", IF(I11&lt;=0.95, "CLASSE B (Prata)", "CLASSE C (Bronze)"))</f>
        <v/>
      </c>
    </row>
    <row r="12" ht="20" customHeight="1">
      <c r="A12" s="19" t="n">
        <v>6</v>
      </c>
      <c r="B12" s="19" t="inlineStr">
        <is>
          <t>RELOGIO-SMART-D20</t>
        </is>
      </c>
      <c r="C12" s="20" t="inlineStr">
        <is>
          <t>Smartwatch D20 Bluetooth Monitor Saúde</t>
        </is>
      </c>
      <c r="D12" s="19" t="inlineStr">
        <is>
          <t>Shopee</t>
        </is>
      </c>
      <c r="E12" s="29" t="n">
        <v>240</v>
      </c>
      <c r="F12" s="22" t="n">
        <v>45.9</v>
      </c>
      <c r="G12" s="22">
        <f>E12*F12</f>
        <v/>
      </c>
      <c r="H12" s="30">
        <f>G12/$G$27</f>
        <v/>
      </c>
      <c r="I12" s="30">
        <f>I11+H12</f>
        <v/>
      </c>
      <c r="J12" s="18">
        <f>IF(I12&lt;=0.80, "CLASSE A (Ouro)", IF(I12&lt;=0.95, "CLASSE B (Prata)", "CLASSE C (Bronze)"))</f>
        <v/>
      </c>
    </row>
    <row r="13" ht="20" customHeight="1">
      <c r="A13" s="14" t="n">
        <v>7</v>
      </c>
      <c r="B13" s="14" t="inlineStr">
        <is>
          <t>CARREGADOR-20W</t>
        </is>
      </c>
      <c r="C13" s="15" t="inlineStr">
        <is>
          <t>Carregador Rápido 20W USB-C Homologado</t>
        </is>
      </c>
      <c r="D13" s="14" t="inlineStr">
        <is>
          <t>Mercado Livre</t>
        </is>
      </c>
      <c r="E13" s="27" t="n">
        <v>190</v>
      </c>
      <c r="F13" s="17" t="n">
        <v>54.9</v>
      </c>
      <c r="G13" s="17">
        <f>E13*F13</f>
        <v/>
      </c>
      <c r="H13" s="28">
        <f>G13/$G$27</f>
        <v/>
      </c>
      <c r="I13" s="28">
        <f>I12+H13</f>
        <v/>
      </c>
      <c r="J13" s="23">
        <f>IF(I13&lt;=0.80, "CLASSE A (Ouro)", IF(I13&lt;=0.95, "CLASSE B (Prata)", "CLASSE C (Bronze)"))</f>
        <v/>
      </c>
    </row>
    <row r="14" ht="20" customHeight="1">
      <c r="A14" s="19" t="n">
        <v>8</v>
      </c>
      <c r="B14" s="19" t="inlineStr">
        <is>
          <t>ALMOFADA-MASSAGEM</t>
        </is>
      </c>
      <c r="C14" s="20" t="inlineStr">
        <is>
          <t>Almofada de Massagem Shiatsu Pescoço e Lombar</t>
        </is>
      </c>
      <c r="D14" s="19" t="inlineStr">
        <is>
          <t>Mercado Livre</t>
        </is>
      </c>
      <c r="E14" s="29" t="n">
        <v>80</v>
      </c>
      <c r="F14" s="22" t="n">
        <v>119.9</v>
      </c>
      <c r="G14" s="22">
        <f>E14*F14</f>
        <v/>
      </c>
      <c r="H14" s="30">
        <f>G14/$G$27</f>
        <v/>
      </c>
      <c r="I14" s="30">
        <f>I13+H14</f>
        <v/>
      </c>
      <c r="J14" s="23">
        <f>IF(I14&lt;=0.80, "CLASSE A (Ouro)", IF(I14&lt;=0.95, "CLASSE B (Prata)", "CLASSE C (Bronze)"))</f>
        <v/>
      </c>
    </row>
    <row r="15" ht="20" customHeight="1">
      <c r="A15" s="14" t="n">
        <v>9</v>
      </c>
      <c r="B15" s="14" t="inlineStr">
        <is>
          <t>SUPORTE-NOTE</t>
        </is>
      </c>
      <c r="C15" s="15" t="inlineStr">
        <is>
          <t>Suporte Articulado para Notebook Ergonômico</t>
        </is>
      </c>
      <c r="D15" s="14" t="inlineStr">
        <is>
          <t>Amazon</t>
        </is>
      </c>
      <c r="E15" s="27" t="n">
        <v>120</v>
      </c>
      <c r="F15" s="17" t="n">
        <v>69.90000000000001</v>
      </c>
      <c r="G15" s="17">
        <f>E15*F15</f>
        <v/>
      </c>
      <c r="H15" s="28">
        <f>G15/$G$27</f>
        <v/>
      </c>
      <c r="I15" s="28">
        <f>I14+H15</f>
        <v/>
      </c>
      <c r="J15" s="23">
        <f>IF(I15&lt;=0.80, "CLASSE A (Ouro)", IF(I15&lt;=0.95, "CLASSE B (Prata)", "CLASSE C (Bronze)"))</f>
        <v/>
      </c>
    </row>
    <row r="16" ht="20" customHeight="1">
      <c r="A16" s="19" t="n">
        <v>10</v>
      </c>
      <c r="B16" s="19" t="inlineStr">
        <is>
          <t>CAIXA-SOM-BT</t>
        </is>
      </c>
      <c r="C16" s="20" t="inlineStr">
        <is>
          <t>Mini Caixa de Som Bluetooth À Prova D'Água</t>
        </is>
      </c>
      <c r="D16" s="19" t="inlineStr">
        <is>
          <t>Mercado Livre</t>
        </is>
      </c>
      <c r="E16" s="29" t="n">
        <v>95</v>
      </c>
      <c r="F16" s="22" t="n">
        <v>79.90000000000001</v>
      </c>
      <c r="G16" s="22">
        <f>E16*F16</f>
        <v/>
      </c>
      <c r="H16" s="30">
        <f>G16/$G$27</f>
        <v/>
      </c>
      <c r="I16" s="30">
        <f>I15+H16</f>
        <v/>
      </c>
      <c r="J16" s="23">
        <f>IF(I16&lt;=0.80, "CLASSE A (Ouro)", IF(I16&lt;=0.95, "CLASSE B (Prata)", "CLASSE C (Bronze)"))</f>
        <v/>
      </c>
    </row>
    <row r="17" ht="20" customHeight="1">
      <c r="A17" s="14" t="n">
        <v>11</v>
      </c>
      <c r="B17" s="14" t="inlineStr">
        <is>
          <t>RING-LIGHT-10</t>
        </is>
      </c>
      <c r="C17" s="15" t="inlineStr">
        <is>
          <t>Ring Light 10 Pol Tripé 2m + Controle</t>
        </is>
      </c>
      <c r="D17" s="14" t="inlineStr">
        <is>
          <t>Mercado Livre</t>
        </is>
      </c>
      <c r="E17" s="27" t="n">
        <v>85</v>
      </c>
      <c r="F17" s="17" t="n">
        <v>79.90000000000001</v>
      </c>
      <c r="G17" s="17">
        <f>E17*F17</f>
        <v/>
      </c>
      <c r="H17" s="28">
        <f>G17/$G$27</f>
        <v/>
      </c>
      <c r="I17" s="28">
        <f>I16+H17</f>
        <v/>
      </c>
      <c r="J17" s="23">
        <f>IF(I17&lt;=0.80, "CLASSE A (Ouro)", IF(I17&lt;=0.95, "CLASSE B (Prata)", "CLASSE C (Bronze)"))</f>
        <v/>
      </c>
    </row>
    <row r="18" ht="20" customHeight="1">
      <c r="A18" s="19" t="n">
        <v>12</v>
      </c>
      <c r="B18" s="19" t="inlineStr">
        <is>
          <t>LUMINARIA-MESA</t>
        </is>
      </c>
      <c r="C18" s="20" t="inlineStr">
        <is>
          <t>Luminária de Mesa LED Articulada Touch</t>
        </is>
      </c>
      <c r="D18" s="19" t="inlineStr">
        <is>
          <t>Shein</t>
        </is>
      </c>
      <c r="E18" s="29" t="n">
        <v>110</v>
      </c>
      <c r="F18" s="22" t="n">
        <v>59.9</v>
      </c>
      <c r="G18" s="22">
        <f>E18*F18</f>
        <v/>
      </c>
      <c r="H18" s="30">
        <f>G18/$G$27</f>
        <v/>
      </c>
      <c r="I18" s="30">
        <f>I17+H18</f>
        <v/>
      </c>
      <c r="J18" s="23">
        <f>IF(I18&lt;=0.80, "CLASSE A (Ouro)", IF(I18&lt;=0.95, "CLASSE B (Prata)", "CLASSE C (Bronze)"))</f>
        <v/>
      </c>
    </row>
    <row r="19" ht="20" customHeight="1">
      <c r="A19" s="14" t="n">
        <v>13</v>
      </c>
      <c r="B19" s="14" t="inlineStr">
        <is>
          <t>MOUSE-SEM-FIO</t>
        </is>
      </c>
      <c r="C19" s="15" t="inlineStr">
        <is>
          <t>Mouse Óptico Recarregável Silencioso 2.4G</t>
        </is>
      </c>
      <c r="D19" s="14" t="inlineStr">
        <is>
          <t>Mercado Livre</t>
        </is>
      </c>
      <c r="E19" s="27" t="n">
        <v>130</v>
      </c>
      <c r="F19" s="17" t="n">
        <v>42.9</v>
      </c>
      <c r="G19" s="17">
        <f>E19*F19</f>
        <v/>
      </c>
      <c r="H19" s="28">
        <f>G19/$G$27</f>
        <v/>
      </c>
      <c r="I19" s="28">
        <f>I18+H19</f>
        <v/>
      </c>
      <c r="J19" s="23">
        <f>IF(I19&lt;=0.80, "CLASSE A (Ouro)", IF(I19&lt;=0.95, "CLASSE B (Prata)", "CLASSE C (Bronze)"))</f>
        <v/>
      </c>
    </row>
    <row r="20" ht="20" customHeight="1">
      <c r="A20" s="19" t="n">
        <v>14</v>
      </c>
      <c r="B20" s="19" t="inlineStr">
        <is>
          <t>KIT-MEIAS-12</t>
        </is>
      </c>
      <c r="C20" s="20" t="inlineStr">
        <is>
          <t>Kit 12 Pares de Meia Algodão Cano Curto</t>
        </is>
      </c>
      <c r="D20" s="19" t="inlineStr">
        <is>
          <t>Shopee</t>
        </is>
      </c>
      <c r="E20" s="29" t="n">
        <v>140</v>
      </c>
      <c r="F20" s="22" t="n">
        <v>36.9</v>
      </c>
      <c r="G20" s="22">
        <f>E20*F20</f>
        <v/>
      </c>
      <c r="H20" s="30">
        <f>G20/$G$27</f>
        <v/>
      </c>
      <c r="I20" s="30">
        <f>I19+H20</f>
        <v/>
      </c>
      <c r="J20" s="31">
        <f>IF(I20&lt;=0.80, "CLASSE A (Ouro)", IF(I20&lt;=0.95, "CLASSE B (Prata)", "CLASSE C (Bronze)"))</f>
        <v/>
      </c>
    </row>
    <row r="21" ht="20" customHeight="1">
      <c r="A21" s="14" t="n">
        <v>15</v>
      </c>
      <c r="B21" s="14" t="inlineStr">
        <is>
          <t>TRIPÉ-PULSO</t>
        </is>
      </c>
      <c r="C21" s="15" t="inlineStr">
        <is>
          <t>Pau de Selfie Tripé Bluetooth com Controle</t>
        </is>
      </c>
      <c r="D21" s="14" t="inlineStr">
        <is>
          <t>Shein</t>
        </is>
      </c>
      <c r="E21" s="27" t="n">
        <v>120</v>
      </c>
      <c r="F21" s="17" t="n">
        <v>39.9</v>
      </c>
      <c r="G21" s="17">
        <f>E21*F21</f>
        <v/>
      </c>
      <c r="H21" s="28">
        <f>G21/$G$27</f>
        <v/>
      </c>
      <c r="I21" s="28">
        <f>I20+H21</f>
        <v/>
      </c>
      <c r="J21" s="31">
        <f>IF(I21&lt;=0.80, "CLASSE A (Ouro)", IF(I21&lt;=0.95, "CLASSE B (Prata)", "CLASSE C (Bronze)"))</f>
        <v/>
      </c>
    </row>
    <row r="22" ht="20" customHeight="1">
      <c r="A22" s="19" t="n">
        <v>16</v>
      </c>
      <c r="B22" s="19" t="inlineStr">
        <is>
          <t>BALANCA-DIGITAL</t>
        </is>
      </c>
      <c r="C22" s="20" t="inlineStr">
        <is>
          <t>Balança Digital de Cozinha Alta Precisão</t>
        </is>
      </c>
      <c r="D22" s="19" t="inlineStr">
        <is>
          <t>Shopee</t>
        </is>
      </c>
      <c r="E22" s="29" t="n">
        <v>115</v>
      </c>
      <c r="F22" s="22" t="n">
        <v>34.9</v>
      </c>
      <c r="G22" s="22">
        <f>E22*F22</f>
        <v/>
      </c>
      <c r="H22" s="30">
        <f>G22/$G$27</f>
        <v/>
      </c>
      <c r="I22" s="30">
        <f>I21+H22</f>
        <v/>
      </c>
      <c r="J22" s="31">
        <f>IF(I22&lt;=0.80, "CLASSE A (Ouro)", IF(I22&lt;=0.95, "CLASSE B (Prata)", "CLASSE C (Bronze)"))</f>
        <v/>
      </c>
    </row>
    <row r="23" ht="20" customHeight="1">
      <c r="A23" s="14" t="n">
        <v>17</v>
      </c>
      <c r="B23" s="14" t="inlineStr">
        <is>
          <t>CAPA-IPHONE-15</t>
        </is>
      </c>
      <c r="C23" s="15" t="inlineStr">
        <is>
          <t>Capa Magnética Silicone Anti-Impacto</t>
        </is>
      </c>
      <c r="D23" s="14" t="inlineStr">
        <is>
          <t>Shopee</t>
        </is>
      </c>
      <c r="E23" s="27" t="n">
        <v>150</v>
      </c>
      <c r="F23" s="17" t="n">
        <v>24.9</v>
      </c>
      <c r="G23" s="17">
        <f>E23*F23</f>
        <v/>
      </c>
      <c r="H23" s="28">
        <f>G23/$G$27</f>
        <v/>
      </c>
      <c r="I23" s="28">
        <f>I22+H23</f>
        <v/>
      </c>
      <c r="J23" s="31">
        <f>IF(I23&lt;=0.80, "CLASSE A (Ouro)", IF(I23&lt;=0.95, "CLASSE B (Prata)", "CLASSE C (Bronze)"))</f>
        <v/>
      </c>
    </row>
    <row r="24" ht="20" customHeight="1">
      <c r="A24" s="19" t="n">
        <v>18</v>
      </c>
      <c r="B24" s="19" t="inlineStr">
        <is>
          <t>CABO-USBC-2M</t>
        </is>
      </c>
      <c r="C24" s="20" t="inlineStr">
        <is>
          <t>Cabo USB-C Trançado Nylon 2m Turbo</t>
        </is>
      </c>
      <c r="D24" s="19" t="inlineStr">
        <is>
          <t>Shopee</t>
        </is>
      </c>
      <c r="E24" s="29" t="n">
        <v>180</v>
      </c>
      <c r="F24" s="22" t="n">
        <v>19.9</v>
      </c>
      <c r="G24" s="22">
        <f>E24*F24</f>
        <v/>
      </c>
      <c r="H24" s="30">
        <f>G24/$G$27</f>
        <v/>
      </c>
      <c r="I24" s="30">
        <f>I23+H24</f>
        <v/>
      </c>
      <c r="J24" s="31">
        <f>IF(I24&lt;=0.80, "CLASSE A (Ouro)", IF(I24&lt;=0.95, "CLASSE B (Prata)", "CLASSE C (Bronze)"))</f>
        <v/>
      </c>
    </row>
    <row r="25" ht="20" customHeight="1">
      <c r="A25" s="14" t="n">
        <v>19</v>
      </c>
      <c r="B25" s="14" t="inlineStr">
        <is>
          <t>PELICULA-3D-KIT</t>
        </is>
      </c>
      <c r="C25" s="15" t="inlineStr">
        <is>
          <t>Kit 5 Películas de Vidro 3D Temperado</t>
        </is>
      </c>
      <c r="D25" s="14" t="inlineStr">
        <is>
          <t>Shopee</t>
        </is>
      </c>
      <c r="E25" s="27" t="n">
        <v>110</v>
      </c>
      <c r="F25" s="17" t="n">
        <v>24.9</v>
      </c>
      <c r="G25" s="17">
        <f>E25*F25</f>
        <v/>
      </c>
      <c r="H25" s="28">
        <f>G25/$G$27</f>
        <v/>
      </c>
      <c r="I25" s="28">
        <f>I24+H25</f>
        <v/>
      </c>
      <c r="J25" s="31">
        <f>IF(I25&lt;=0.80, "CLASSE A (Ouro)", IF(I25&lt;=0.95, "CLASSE B (Prata)", "CLASSE C (Bronze)"))</f>
        <v/>
      </c>
    </row>
    <row r="26" ht="20" customHeight="1">
      <c r="A26" s="19" t="n">
        <v>20</v>
      </c>
      <c r="B26" s="19" t="inlineStr">
        <is>
          <t>MOCKUP-ORGANIZ</t>
        </is>
      </c>
      <c r="C26" s="20" t="inlineStr">
        <is>
          <t>Organizador de Cabos e Fones Portátil</t>
        </is>
      </c>
      <c r="D26" s="19" t="inlineStr">
        <is>
          <t>TikTok Shop</t>
        </is>
      </c>
      <c r="E26" s="29" t="n">
        <v>90</v>
      </c>
      <c r="F26" s="22" t="n">
        <v>16.9</v>
      </c>
      <c r="G26" s="22">
        <f>E26*F26</f>
        <v/>
      </c>
      <c r="H26" s="30">
        <f>G26/$G$27</f>
        <v/>
      </c>
      <c r="I26" s="30">
        <f>I25+H26</f>
        <v/>
      </c>
      <c r="J26" s="31">
        <f>IF(I26&lt;=0.80, "CLASSE A (Ouro)", IF(I26&lt;=0.95, "CLASSE B (Prata)", "CLASSE C (Bronze)"))</f>
        <v/>
      </c>
    </row>
    <row r="27">
      <c r="C27" s="7" t="inlineStr">
        <is>
          <t>FATURAMENTO TOTAL</t>
        </is>
      </c>
      <c r="E27" s="25">
        <f>SUM(E7:E26)</f>
        <v/>
      </c>
      <c r="G27" s="26">
        <f>SUM(G7:G26)</f>
        <v/>
      </c>
      <c r="H27" s="32">
        <f>SUM(H7:H26)</f>
        <v/>
      </c>
    </row>
  </sheetData>
  <mergeCells count="1">
    <mergeCell ref="A2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18" customWidth="1" min="4" max="4"/>
    <col width="24" customWidth="1" min="5" max="5"/>
    <col width="22" customWidth="1" min="6" max="6"/>
    <col width="20" customWidth="1" min="7" max="7"/>
    <col width="38" customWidth="1" min="8" max="8"/>
  </cols>
  <sheetData>
    <row r="2">
      <c r="A2" s="1" t="inlineStr">
        <is>
          <t>DIAS DE COBERTURA DE ESTOQUE &amp; PREVISÃO DE RUPTURA</t>
        </is>
      </c>
    </row>
    <row r="3"/>
    <row r="5" ht="28" customHeight="1">
      <c r="A5" s="13" t="inlineStr">
        <is>
          <t>Código SKU</t>
        </is>
      </c>
      <c r="B5" s="13" t="inlineStr">
        <is>
          <t>Descrição do Produto</t>
        </is>
      </c>
      <c r="C5" s="13" t="inlineStr">
        <is>
          <t>Estoque Atual (Unid)</t>
        </is>
      </c>
      <c r="D5" s="13" t="inlineStr">
        <is>
          <t>Venda Média / Dia</t>
        </is>
      </c>
      <c r="E5" s="13" t="inlineStr">
        <is>
          <t>Dias de Cobertura Restantes</t>
        </is>
      </c>
      <c r="F5" s="13" t="inlineStr">
        <is>
          <t>Nível de Risco</t>
        </is>
      </c>
      <c r="G5" s="13" t="inlineStr">
        <is>
          <t>Previsão de Ruptura</t>
        </is>
      </c>
      <c r="H5" s="13" t="inlineStr">
        <is>
          <t>Ação Imediata Recomendada</t>
        </is>
      </c>
    </row>
    <row r="7" ht="20" customHeight="1">
      <c r="A7" s="14" t="inlineStr">
        <is>
          <t>FONE-BT-01</t>
        </is>
      </c>
      <c r="B7" s="15" t="inlineStr">
        <is>
          <t>Fone de Ouvido Bluetooth TWS Pro</t>
        </is>
      </c>
      <c r="C7" s="16" t="n">
        <v>85</v>
      </c>
      <c r="D7" s="33">
        <f>ROUND('Curva ABC'!E7/30, 1)</f>
        <v/>
      </c>
      <c r="E7" s="27">
        <f>IF(D7&gt;0, ROUND(C7/D7, 0), 999)</f>
        <v/>
      </c>
      <c r="F7" s="23">
        <f>IF(C7&lt;=0, "CRÍTICO (ZERADO)", IF(E7&lt;=15, "ALTO RISCO", IF(E7&lt;=30, "MODERADO", "CONFORTÁVEL")))</f>
        <v/>
      </c>
      <c r="G7" s="34">
        <f>IF(C7&lt;=0, "HOJE", TODAY() + E7)</f>
        <v/>
      </c>
      <c r="H7" s="15">
        <f>IF(C7&lt;=0, "Emitir Pedido Urgente para Fornecedor", IF(E7&lt;=15, "Repor lote de segurança imediatamente", IF(E7&lt;=30, "Acompanhar giro na próxima semana", "Estoque suficiente para o ciclo")))</f>
        <v/>
      </c>
    </row>
    <row r="8" ht="20" customHeight="1">
      <c r="A8" s="19" t="inlineStr">
        <is>
          <t>GARRAFA-500</t>
        </is>
      </c>
      <c r="B8" s="20" t="inlineStr">
        <is>
          <t>Garrafa Térmica Inox 500ml Digital</t>
        </is>
      </c>
      <c r="C8" s="21" t="n">
        <v>62</v>
      </c>
      <c r="D8" s="35">
        <f>ROUND('Curva ABC'!E8/30, 1)</f>
        <v/>
      </c>
      <c r="E8" s="29">
        <f>IF(D8&gt;0, ROUND(C8/D8, 0), 999)</f>
        <v/>
      </c>
      <c r="F8" s="23">
        <f>IF(C8&lt;=0, "CRÍTICO (ZERADO)", IF(E8&lt;=15, "ALTO RISCO", IF(E8&lt;=30, "MODERADO", "CONFORTÁVEL")))</f>
        <v/>
      </c>
      <c r="G8" s="36">
        <f>IF(C8&lt;=0, "HOJE", TODAY() + E8)</f>
        <v/>
      </c>
      <c r="H8" s="20">
        <f>IF(C8&lt;=0, "Emitir Pedido Urgente para Fornecedor", IF(E8&lt;=15, "Repor lote de segurança imediatamente", IF(E8&lt;=30, "Acompanhar giro na próxima semana", "Estoque suficiente para o ciclo")))</f>
        <v/>
      </c>
    </row>
    <row r="9" ht="20" customHeight="1">
      <c r="A9" s="14" t="inlineStr">
        <is>
          <t>CABO-USBC-2M</t>
        </is>
      </c>
      <c r="B9" s="15" t="inlineStr">
        <is>
          <t>Cabo USB-C Trançado Nylon 2m Turbo</t>
        </is>
      </c>
      <c r="C9" s="16" t="n">
        <v>140</v>
      </c>
      <c r="D9" s="33">
        <f>ROUND('Curva ABC'!E9/30, 1)</f>
        <v/>
      </c>
      <c r="E9" s="27">
        <f>IF(D9&gt;0, ROUND(C9/D9, 0), 999)</f>
        <v/>
      </c>
      <c r="F9" s="23">
        <f>IF(C9&lt;=0, "CRÍTICO (ZERADO)", IF(E9&lt;=15, "ALTO RISCO", IF(E9&lt;=30, "MODERADO", "CONFORTÁVEL")))</f>
        <v/>
      </c>
      <c r="G9" s="34">
        <f>IF(C9&lt;=0, "HOJE", TODAY() + E9)</f>
        <v/>
      </c>
      <c r="H9" s="15">
        <f>IF(C9&lt;=0, "Emitir Pedido Urgente para Fornecedor", IF(E9&lt;=15, "Repor lote de segurança imediatamente", IF(E9&lt;=30, "Acompanhar giro na próxima semana", "Estoque suficiente para o ciclo")))</f>
        <v/>
      </c>
    </row>
    <row r="10" ht="20" customHeight="1">
      <c r="A10" s="19" t="inlineStr">
        <is>
          <t>SUPORTE-NOTE</t>
        </is>
      </c>
      <c r="B10" s="20" t="inlineStr">
        <is>
          <t>Suporte Articulado para Notebook Ergonômico</t>
        </is>
      </c>
      <c r="C10" s="21" t="n">
        <v>8</v>
      </c>
      <c r="D10" s="35">
        <f>ROUND('Curva ABC'!E10/30, 1)</f>
        <v/>
      </c>
      <c r="E10" s="29">
        <f>IF(D10&gt;0, ROUND(C10/D10, 0), 999)</f>
        <v/>
      </c>
      <c r="F10" s="23">
        <f>IF(C10&lt;=0, "CRÍTICO (ZERADO)", IF(E10&lt;=15, "ALTO RISCO", IF(E10&lt;=30, "MODERADO", "CONFORTÁVEL")))</f>
        <v/>
      </c>
      <c r="G10" s="36">
        <f>IF(C10&lt;=0, "HOJE", TODAY() + E10)</f>
        <v/>
      </c>
      <c r="H10" s="20">
        <f>IF(C10&lt;=0, "Emitir Pedido Urgente para Fornecedor", IF(E10&lt;=15, "Repor lote de segurança imediatamente", IF(E10&lt;=30, "Acompanhar giro na próxima semana", "Estoque suficiente para o ciclo")))</f>
        <v/>
      </c>
    </row>
    <row r="11" ht="20" customHeight="1">
      <c r="A11" s="14" t="inlineStr">
        <is>
          <t>RING-LIGHT-10</t>
        </is>
      </c>
      <c r="B11" s="15" t="inlineStr">
        <is>
          <t>Ring Light 10 Pol Tripé 2m + Controle</t>
        </is>
      </c>
      <c r="C11" s="16" t="n">
        <v>0</v>
      </c>
      <c r="D11" s="33">
        <f>ROUND('Curva ABC'!E11/30, 1)</f>
        <v/>
      </c>
      <c r="E11" s="27">
        <f>IF(D11&gt;0, ROUND(C11/D11, 0), 999)</f>
        <v/>
      </c>
      <c r="F11" s="24">
        <f>IF(C11&lt;=0, "CRÍTICO (ZERADO)", IF(E11&lt;=15, "ALTO RISCO", IF(E11&lt;=30, "MODERADO", "CONFORTÁVEL")))</f>
        <v/>
      </c>
      <c r="G11" s="34">
        <f>IF(C11&lt;=0, "HOJE", TODAY() + E11)</f>
        <v/>
      </c>
      <c r="H11" s="15">
        <f>IF(C11&lt;=0, "Emitir Pedido Urgente para Fornecedor", IF(E11&lt;=15, "Repor lote de segurança imediatamente", IF(E11&lt;=30, "Acompanhar giro na próxima semana", "Estoque suficiente para o ciclo")))</f>
        <v/>
      </c>
    </row>
    <row r="12" ht="20" customHeight="1">
      <c r="A12" s="19" t="inlineStr">
        <is>
          <t>KIT-MEIAS-12</t>
        </is>
      </c>
      <c r="B12" s="20" t="inlineStr">
        <is>
          <t>Kit 12 Pares de Meia Algodão Cano Curto</t>
        </is>
      </c>
      <c r="C12" s="21" t="n">
        <v>95</v>
      </c>
      <c r="D12" s="35">
        <f>ROUND('Curva ABC'!E12/30, 1)</f>
        <v/>
      </c>
      <c r="E12" s="29">
        <f>IF(D12&gt;0, ROUND(C12/D12, 0), 999)</f>
        <v/>
      </c>
      <c r="F12" s="23">
        <f>IF(C12&lt;=0, "CRÍTICO (ZERADO)", IF(E12&lt;=15, "ALTO RISCO", IF(E12&lt;=30, "MODERADO", "CONFORTÁVEL")))</f>
        <v/>
      </c>
      <c r="G12" s="36">
        <f>IF(C12&lt;=0, "HOJE", TODAY() + E12)</f>
        <v/>
      </c>
      <c r="H12" s="20">
        <f>IF(C12&lt;=0, "Emitir Pedido Urgente para Fornecedor", IF(E12&lt;=15, "Repor lote de segurança imediatamente", IF(E12&lt;=30, "Acompanhar giro na próxima semana", "Estoque suficiente para o ciclo")))</f>
        <v/>
      </c>
    </row>
    <row r="13" ht="20" customHeight="1">
      <c r="A13" s="14" t="inlineStr">
        <is>
          <t>CARREGADOR-20W</t>
        </is>
      </c>
      <c r="B13" s="15" t="inlineStr">
        <is>
          <t>Carregador Rápido 20W USB-C Homologado</t>
        </is>
      </c>
      <c r="C13" s="16" t="n">
        <v>18</v>
      </c>
      <c r="D13" s="33">
        <f>ROUND('Curva ABC'!E13/30, 1)</f>
        <v/>
      </c>
      <c r="E13" s="27">
        <f>IF(D13&gt;0, ROUND(C13/D13, 0), 999)</f>
        <v/>
      </c>
      <c r="F13" s="23">
        <f>IF(C13&lt;=0, "CRÍTICO (ZERADO)", IF(E13&lt;=15, "ALTO RISCO", IF(E13&lt;=30, "MODERADO", "CONFORTÁVEL")))</f>
        <v/>
      </c>
      <c r="G13" s="34">
        <f>IF(C13&lt;=0, "HOJE", TODAY() + E13)</f>
        <v/>
      </c>
      <c r="H13" s="15">
        <f>IF(C13&lt;=0, "Emitir Pedido Urgente para Fornecedor", IF(E13&lt;=15, "Repor lote de segurança imediatamente", IF(E13&lt;=30, "Acompanhar giro na próxima semana", "Estoque suficiente para o ciclo")))</f>
        <v/>
      </c>
    </row>
    <row r="14" ht="20" customHeight="1">
      <c r="A14" s="19" t="inlineStr">
        <is>
          <t>LUMINARIA-MESA</t>
        </is>
      </c>
      <c r="B14" s="20" t="inlineStr">
        <is>
          <t>Luminária de Mesa LED Articulada Touch</t>
        </is>
      </c>
      <c r="C14" s="21" t="n">
        <v>32</v>
      </c>
      <c r="D14" s="35">
        <f>ROUND('Curva ABC'!E14/30, 1)</f>
        <v/>
      </c>
      <c r="E14" s="29">
        <f>IF(D14&gt;0, ROUND(C14/D14, 0), 999)</f>
        <v/>
      </c>
      <c r="F14" s="23">
        <f>IF(C14&lt;=0, "CRÍTICO (ZERADO)", IF(E14&lt;=15, "ALTO RISCO", IF(E14&lt;=30, "MODERADO", "CONFORTÁVEL")))</f>
        <v/>
      </c>
      <c r="G14" s="36">
        <f>IF(C14&lt;=0, "HOJE", TODAY() + E14)</f>
        <v/>
      </c>
      <c r="H14" s="20">
        <f>IF(C14&lt;=0, "Emitir Pedido Urgente para Fornecedor", IF(E14&lt;=15, "Repor lote de segurança imediatamente", IF(E14&lt;=30, "Acompanhar giro na próxima semana", "Estoque suficiente para o ciclo")))</f>
        <v/>
      </c>
    </row>
    <row r="15" ht="20" customHeight="1">
      <c r="A15" s="14" t="inlineStr">
        <is>
          <t>CAPA-IPHONE-15</t>
        </is>
      </c>
      <c r="B15" s="15" t="inlineStr">
        <is>
          <t>Capa Magnética Silicone Anti-Impacto</t>
        </is>
      </c>
      <c r="C15" s="16" t="n">
        <v>110</v>
      </c>
      <c r="D15" s="33">
        <f>ROUND('Curva ABC'!E15/30, 1)</f>
        <v/>
      </c>
      <c r="E15" s="27">
        <f>IF(D15&gt;0, ROUND(C15/D15, 0), 999)</f>
        <v/>
      </c>
      <c r="F15" s="23">
        <f>IF(C15&lt;=0, "CRÍTICO (ZERADO)", IF(E15&lt;=15, "ALTO RISCO", IF(E15&lt;=30, "MODERADO", "CONFORTÁVEL")))</f>
        <v/>
      </c>
      <c r="G15" s="34">
        <f>IF(C15&lt;=0, "HOJE", TODAY() + E15)</f>
        <v/>
      </c>
      <c r="H15" s="15">
        <f>IF(C15&lt;=0, "Emitir Pedido Urgente para Fornecedor", IF(E15&lt;=15, "Repor lote de segurança imediatamente", IF(E15&lt;=30, "Acompanhar giro na próxima semana", "Estoque suficiente para o ciclo")))</f>
        <v/>
      </c>
    </row>
    <row r="16" ht="20" customHeight="1">
      <c r="A16" s="19" t="inlineStr">
        <is>
          <t>MOCKUP-ORGANIZ</t>
        </is>
      </c>
      <c r="B16" s="20" t="inlineStr">
        <is>
          <t>Organizador de Cabos e Fones Portátil</t>
        </is>
      </c>
      <c r="C16" s="21" t="n">
        <v>45</v>
      </c>
      <c r="D16" s="35">
        <f>ROUND('Curva ABC'!E16/30, 1)</f>
        <v/>
      </c>
      <c r="E16" s="29">
        <f>IF(D16&gt;0, ROUND(C16/D16, 0), 999)</f>
        <v/>
      </c>
      <c r="F16" s="23">
        <f>IF(C16&lt;=0, "CRÍTICO (ZERADO)", IF(E16&lt;=15, "ALTO RISCO", IF(E16&lt;=30, "MODERADO", "CONFORTÁVEL")))</f>
        <v/>
      </c>
      <c r="G16" s="36">
        <f>IF(C16&lt;=0, "HOJE", TODAY() + E16)</f>
        <v/>
      </c>
      <c r="H16" s="20">
        <f>IF(C16&lt;=0, "Emitir Pedido Urgente para Fornecedor", IF(E16&lt;=15, "Repor lote de segurança imediatamente", IF(E16&lt;=30, "Acompanhar giro na próxima semana", "Estoque suficiente para o ciclo")))</f>
        <v/>
      </c>
    </row>
    <row r="17" ht="20" customHeight="1">
      <c r="A17" s="14" t="inlineStr">
        <is>
          <t>TECLADO-MEC-RGB</t>
        </is>
      </c>
      <c r="B17" s="15" t="inlineStr">
        <is>
          <t>Teclado Mecânico Compacto RGB ABNT2</t>
        </is>
      </c>
      <c r="C17" s="16" t="n">
        <v>5</v>
      </c>
      <c r="D17" s="33">
        <f>ROUND('Curva ABC'!E17/30, 1)</f>
        <v/>
      </c>
      <c r="E17" s="27">
        <f>IF(D17&gt;0, ROUND(C17/D17, 0), 999)</f>
        <v/>
      </c>
      <c r="F17" s="23">
        <f>IF(C17&lt;=0, "CRÍTICO (ZERADO)", IF(E17&lt;=15, "ALTO RISCO", IF(E17&lt;=30, "MODERADO", "CONFORTÁVEL")))</f>
        <v/>
      </c>
      <c r="G17" s="34">
        <f>IF(C17&lt;=0, "HOJE", TODAY() + E17)</f>
        <v/>
      </c>
      <c r="H17" s="15">
        <f>IF(C17&lt;=0, "Emitir Pedido Urgente para Fornecedor", IF(E17&lt;=15, "Repor lote de segurança imediatamente", IF(E17&lt;=30, "Acompanhar giro na próxima semana", "Estoque suficiente para o ciclo")))</f>
        <v/>
      </c>
    </row>
    <row r="18" ht="20" customHeight="1">
      <c r="A18" s="19" t="inlineStr">
        <is>
          <t>MOUSE-SEM-FIO</t>
        </is>
      </c>
      <c r="B18" s="20" t="inlineStr">
        <is>
          <t>Mouse Óptico Recarregável Silencioso 2.4G</t>
        </is>
      </c>
      <c r="C18" s="21" t="n">
        <v>55</v>
      </c>
      <c r="D18" s="35">
        <f>ROUND('Curva ABC'!E18/30, 1)</f>
        <v/>
      </c>
      <c r="E18" s="29">
        <f>IF(D18&gt;0, ROUND(C18/D18, 0), 999)</f>
        <v/>
      </c>
      <c r="F18" s="23">
        <f>IF(C18&lt;=0, "CRÍTICO (ZERADO)", IF(E18&lt;=15, "ALTO RISCO", IF(E18&lt;=30, "MODERADO", "CONFORTÁVEL")))</f>
        <v/>
      </c>
      <c r="G18" s="36">
        <f>IF(C18&lt;=0, "HOJE", TODAY() + E18)</f>
        <v/>
      </c>
      <c r="H18" s="20">
        <f>IF(C18&lt;=0, "Emitir Pedido Urgente para Fornecedor", IF(E18&lt;=15, "Repor lote de segurança imediatamente", IF(E18&lt;=30, "Acompanhar giro na próxima semana", "Estoque suficiente para o ciclo")))</f>
        <v/>
      </c>
    </row>
    <row r="19" ht="20" customHeight="1">
      <c r="A19" s="14" t="inlineStr">
        <is>
          <t>MOCHILA-ANTIFURTO</t>
        </is>
      </c>
      <c r="B19" s="15" t="inlineStr">
        <is>
          <t>Mochila Impermeável para Notebook com USB</t>
        </is>
      </c>
      <c r="C19" s="16" t="n">
        <v>26</v>
      </c>
      <c r="D19" s="33">
        <f>ROUND('Curva ABC'!E19/30, 1)</f>
        <v/>
      </c>
      <c r="E19" s="27">
        <f>IF(D19&gt;0, ROUND(C19/D19, 0), 999)</f>
        <v/>
      </c>
      <c r="F19" s="23">
        <f>IF(C19&lt;=0, "CRÍTICO (ZERADO)", IF(E19&lt;=15, "ALTO RISCO", IF(E19&lt;=30, "MODERADO", "CONFORTÁVEL")))</f>
        <v/>
      </c>
      <c r="G19" s="34">
        <f>IF(C19&lt;=0, "HOJE", TODAY() + E19)</f>
        <v/>
      </c>
      <c r="H19" s="15">
        <f>IF(C19&lt;=0, "Emitir Pedido Urgente para Fornecedor", IF(E19&lt;=15, "Repor lote de segurança imediatamente", IF(E19&lt;=30, "Acompanhar giro na próxima semana", "Estoque suficiente para o ciclo")))</f>
        <v/>
      </c>
    </row>
    <row r="20" ht="20" customHeight="1">
      <c r="A20" s="19" t="inlineStr">
        <is>
          <t>RELOGIO-SMART-D20</t>
        </is>
      </c>
      <c r="B20" s="20" t="inlineStr">
        <is>
          <t>Smartwatch D20 Bluetooth Monitor Saúde</t>
        </is>
      </c>
      <c r="C20" s="21" t="n">
        <v>78</v>
      </c>
      <c r="D20" s="35">
        <f>ROUND('Curva ABC'!E20/30, 1)</f>
        <v/>
      </c>
      <c r="E20" s="29">
        <f>IF(D20&gt;0, ROUND(C20/D20, 0), 999)</f>
        <v/>
      </c>
      <c r="F20" s="23">
        <f>IF(C20&lt;=0, "CRÍTICO (ZERADO)", IF(E20&lt;=15, "ALTO RISCO", IF(E20&lt;=30, "MODERADO", "CONFORTÁVEL")))</f>
        <v/>
      </c>
      <c r="G20" s="36">
        <f>IF(C20&lt;=0, "HOJE", TODAY() + E20)</f>
        <v/>
      </c>
      <c r="H20" s="20">
        <f>IF(C20&lt;=0, "Emitir Pedido Urgente para Fornecedor", IF(E20&lt;=15, "Repor lote de segurança imediatamente", IF(E20&lt;=30, "Acompanhar giro na próxima semana", "Estoque suficiente para o ciclo")))</f>
        <v/>
      </c>
    </row>
    <row r="21" ht="20" customHeight="1">
      <c r="A21" s="14" t="inlineStr">
        <is>
          <t>PELICULA-3D-KIT</t>
        </is>
      </c>
      <c r="B21" s="15" t="inlineStr">
        <is>
          <t>Kit 5 Películas de Vidro 3D Temperado</t>
        </is>
      </c>
      <c r="C21" s="16" t="n">
        <v>190</v>
      </c>
      <c r="D21" s="33">
        <f>ROUND('Curva ABC'!E21/30, 1)</f>
        <v/>
      </c>
      <c r="E21" s="27">
        <f>IF(D21&gt;0, ROUND(C21/D21, 0), 999)</f>
        <v/>
      </c>
      <c r="F21" s="23">
        <f>IF(C21&lt;=0, "CRÍTICO (ZERADO)", IF(E21&lt;=15, "ALTO RISCO", IF(E21&lt;=30, "MODERADO", "CONFORTÁVEL")))</f>
        <v/>
      </c>
      <c r="G21" s="34">
        <f>IF(C21&lt;=0, "HOJE", TODAY() + E21)</f>
        <v/>
      </c>
      <c r="H21" s="15">
        <f>IF(C21&lt;=0, "Emitir Pedido Urgente para Fornecedor", IF(E21&lt;=15, "Repor lote de segurança imediatamente", IF(E21&lt;=30, "Acompanhar giro na próxima semana", "Estoque suficiente para o ciclo")))</f>
        <v/>
      </c>
    </row>
    <row r="22" ht="20" customHeight="1">
      <c r="A22" s="19" t="inlineStr">
        <is>
          <t>BALANCA-DIGITAL</t>
        </is>
      </c>
      <c r="B22" s="20" t="inlineStr">
        <is>
          <t>Balança Digital de Cozinha Alta Precisão</t>
        </is>
      </c>
      <c r="C22" s="21" t="n">
        <v>0</v>
      </c>
      <c r="D22" s="35">
        <f>ROUND('Curva ABC'!E22/30, 1)</f>
        <v/>
      </c>
      <c r="E22" s="29">
        <f>IF(D22&gt;0, ROUND(C22/D22, 0), 999)</f>
        <v/>
      </c>
      <c r="F22" s="24">
        <f>IF(C22&lt;=0, "CRÍTICO (ZERADO)", IF(E22&lt;=15, "ALTO RISCO", IF(E22&lt;=30, "MODERADO", "CONFORTÁVEL")))</f>
        <v/>
      </c>
      <c r="G22" s="36">
        <f>IF(C22&lt;=0, "HOJE", TODAY() + E22)</f>
        <v/>
      </c>
      <c r="H22" s="20">
        <f>IF(C22&lt;=0, "Emitir Pedido Urgente para Fornecedor", IF(E22&lt;=15, "Repor lote de segurança imediatamente", IF(E22&lt;=30, "Acompanhar giro na próxima semana", "Estoque suficiente para o ciclo")))</f>
        <v/>
      </c>
    </row>
    <row r="23" ht="20" customHeight="1">
      <c r="A23" s="14" t="inlineStr">
        <is>
          <t>CAIXA-SOM-BT</t>
        </is>
      </c>
      <c r="B23" s="15" t="inlineStr">
        <is>
          <t>Mini Caixa de Som Bluetooth À Prova D'Água</t>
        </is>
      </c>
      <c r="C23" s="16" t="n">
        <v>22</v>
      </c>
      <c r="D23" s="33">
        <f>ROUND('Curva ABC'!E23/30, 1)</f>
        <v/>
      </c>
      <c r="E23" s="27">
        <f>IF(D23&gt;0, ROUND(C23/D23, 0), 999)</f>
        <v/>
      </c>
      <c r="F23" s="23">
        <f>IF(C23&lt;=0, "CRÍTICO (ZERADO)", IF(E23&lt;=15, "ALTO RISCO", IF(E23&lt;=30, "MODERADO", "CONFORTÁVEL")))</f>
        <v/>
      </c>
      <c r="G23" s="34">
        <f>IF(C23&lt;=0, "HOJE", TODAY() + E23)</f>
        <v/>
      </c>
      <c r="H23" s="15">
        <f>IF(C23&lt;=0, "Emitir Pedido Urgente para Fornecedor", IF(E23&lt;=15, "Repor lote de segurança imediatamente", IF(E23&lt;=30, "Acompanhar giro na próxima semana", "Estoque suficiente para o ciclo")))</f>
        <v/>
      </c>
    </row>
    <row r="24" ht="20" customHeight="1">
      <c r="A24" s="19" t="inlineStr">
        <is>
          <t>TRIPÉ-PULSO</t>
        </is>
      </c>
      <c r="B24" s="20" t="inlineStr">
        <is>
          <t>Pau de Selfie Tripé Bluetooth com Controle</t>
        </is>
      </c>
      <c r="C24" s="21" t="n">
        <v>68</v>
      </c>
      <c r="D24" s="35">
        <f>ROUND('Curva ABC'!E24/30, 1)</f>
        <v/>
      </c>
      <c r="E24" s="29">
        <f>IF(D24&gt;0, ROUND(C24/D24, 0), 999)</f>
        <v/>
      </c>
      <c r="F24" s="23">
        <f>IF(C24&lt;=0, "CRÍTICO (ZERADO)", IF(E24&lt;=15, "ALTO RISCO", IF(E24&lt;=30, "MODERADO", "CONFORTÁVEL")))</f>
        <v/>
      </c>
      <c r="G24" s="36">
        <f>IF(C24&lt;=0, "HOJE", TODAY() + E24)</f>
        <v/>
      </c>
      <c r="H24" s="20">
        <f>IF(C24&lt;=0, "Emitir Pedido Urgente para Fornecedor", IF(E24&lt;=15, "Repor lote de segurança imediatamente", IF(E24&lt;=30, "Acompanhar giro na próxima semana", "Estoque suficiente para o ciclo")))</f>
        <v/>
      </c>
    </row>
    <row r="25" ht="20" customHeight="1">
      <c r="A25" s="14" t="inlineStr">
        <is>
          <t>ESCOVA-SECADORA</t>
        </is>
      </c>
      <c r="B25" s="15" t="inlineStr">
        <is>
          <t>Escova Secadora Modeladora Oval 1200W</t>
        </is>
      </c>
      <c r="C25" s="16" t="n">
        <v>14</v>
      </c>
      <c r="D25" s="33">
        <f>ROUND('Curva ABC'!E25/30, 1)</f>
        <v/>
      </c>
      <c r="E25" s="27">
        <f>IF(D25&gt;0, ROUND(C25/D25, 0), 999)</f>
        <v/>
      </c>
      <c r="F25" s="23">
        <f>IF(C25&lt;=0, "CRÍTICO (ZERADO)", IF(E25&lt;=15, "ALTO RISCO", IF(E25&lt;=30, "MODERADO", "CONFORTÁVEL")))</f>
        <v/>
      </c>
      <c r="G25" s="34">
        <f>IF(C25&lt;=0, "HOJE", TODAY() + E25)</f>
        <v/>
      </c>
      <c r="H25" s="15">
        <f>IF(C25&lt;=0, "Emitir Pedido Urgente para Fornecedor", IF(E25&lt;=15, "Repor lote de segurança imediatamente", IF(E25&lt;=30, "Acompanhar giro na próxima semana", "Estoque suficiente para o ciclo")))</f>
        <v/>
      </c>
    </row>
    <row r="26" ht="20" customHeight="1">
      <c r="A26" s="19" t="inlineStr">
        <is>
          <t>ALMOFADA-MASSAGEM</t>
        </is>
      </c>
      <c r="B26" s="20" t="inlineStr">
        <is>
          <t>Almofada de Massagem Shiatsu Pescoço e Lombar</t>
        </is>
      </c>
      <c r="C26" s="21" t="n">
        <v>19</v>
      </c>
      <c r="D26" s="35">
        <f>ROUND('Curva ABC'!E26/30, 1)</f>
        <v/>
      </c>
      <c r="E26" s="29">
        <f>IF(D26&gt;0, ROUND(C26/D26, 0), 999)</f>
        <v/>
      </c>
      <c r="F26" s="23">
        <f>IF(C26&lt;=0, "CRÍTICO (ZERADO)", IF(E26&lt;=15, "ALTO RISCO", IF(E26&lt;=30, "MODERADO", "CONFORTÁVEL")))</f>
        <v/>
      </c>
      <c r="G26" s="36">
        <f>IF(C26&lt;=0, "HOJE", TODAY() + E26)</f>
        <v/>
      </c>
      <c r="H26" s="20">
        <f>IF(C26&lt;=0, "Emitir Pedido Urgente para Fornecedor", IF(E26&lt;=15, "Repor lote de segurança imediatamente", IF(E26&lt;=30, "Acompanhar giro na próxima semana", "Estoque suficiente para o ciclo")))</f>
        <v/>
      </c>
    </row>
  </sheetData>
  <mergeCells count="1">
    <mergeCell ref="A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2026-09-12T19:09:07Z</dcterms:created>
  <dcterms:modified xsi:type="dcterms:W3CDTF">2026-09-12T19:09:07Z</dcterms:modified>
</cp:coreProperties>
</file>